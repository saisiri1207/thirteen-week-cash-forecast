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h_13W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<sst xmlns="http://schemas.openxmlformats.org/spreadsheetml/2006/main" count="31" uniqueCount="31">
  <si>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Northline — 13-week cash forecast (fictional)</t>
  </si>
  <si>
    <t xml:space="preserve">Yellow / blue = inputs. Week 1 starting cash is an input; later weeks roll forward.</t>
  </si>
  <si>
    <t xml:space="preserve">Line</t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</si>
  <si>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</si>
  <si>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</si>
  <si>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</si>
  <si>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</si>
  <si>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</si>
  <si>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W6</t>
  </si>
  <si>
    <t xml:space="preserve">W7</t>
  </si>
  <si>
    <t xml:space="preserve">W8</t>
  </si>
  <si>
    <t xml:space="preserve">W9</t>
  </si>
  <si>
    <t xml:space="preserve">W10</t>
  </si>
  <si>
    <t xml:space="preserve">W11</t>
  </si>
  <si>
    <t xml:space="preserve">W12</t>
  </si>
  <si>
    <t xml:space="preserve">W13</t>
  </si>
  <si>
    <t xml:space="preserve">Starting cash</t>
  </si>
  <si>
    <t xml:space="preserve">Customer receipts</t>
  </si>
  <si>
    <t xml:space="preserve">Other receipts</t>
  </si>
  <si>
    <t xml:space="preserve">Total inflows</t>
  </si>
  <si>
    <t xml:space="preserve">Payroll</t>
  </si>
  <si>
    <t xml:space="preserve">Vendors / COGS cash</t>
  </si>
  <si>
    <t xml:space="preserve">OpEx cash</t>
  </si>
  <si>
    <t xml:space="preserve">Tax / other</t>
  </si>
  <si>
    <t xml:space="preserve">Total outflows</t>
  </si>
  <si>
    <t xml:space="preserve">Net cash</t>
  </si>
  <si>
    <t xml:space="preserve">Ending cash</t>
  </si>
  <si>
    <t xml:space="preserve">Notes</t>
  </si>
  <si>
    <t xml:space="preserve">This is a treasury-style 13-week view, not a full three-statement model.</t>
  </si>
  <si>
    <t xml:space="preserve">Change yellow cells. Ending cash in each week becomes next week's start.</t>
  </si>
  <si>
    <t xml:space="preserve">Interview line: P&amp;L can be on plan while a payroll week plus a tax week still stresses cash.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</si>
</sst>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365D"/>
      <name val="Calibri"/>
      <family val="0"/>
      <charset val="1"/>
    </font>
    <font>
      <i val="true"/>
      <sz val="9"/>
      <color rgb="FF667085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B365D"/>
      <name val="Calibri"/>
      <family val="0"/>
      <charset val="1"/>
    </font>
    <font>
      <sz val="10"/>
      <color rgb="FF0000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B365D"/>
        <bgColor rgb="FF333333"/>
      </patternFill>
    </fill>
    <fill>
      <patternFill patternType="solid">
        <fgColor rgb="FFFFF3BF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3BF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7085"/>
      <rgbColor rgb="FF969696"/>
      <rgbColor rgb="FF1B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Ending cash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Cash_13W!$B$4:$N$4</c:f>
              <c:strCache>
                <c:ptCount val="13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</c:strCache>
            </c:strRef>
          </c:cat>
          <c:val>
            <c:numRef>
              <c:f>Cash_13W!$B$15:$N$15</c:f>
              <c:numCache>
                <c:formatCode>\$#,##0;"($"#,##0\);\-</c:formatCode>
                <c:ptCount val="13"/>
                <c:pt idx="0">
                  <c:v>362000</c:v>
                </c:pt>
                <c:pt idx="1">
                  <c:v>302000</c:v>
                </c:pt>
                <c:pt idx="2">
                  <c:v>239000</c:v>
                </c:pt>
                <c:pt idx="3">
                  <c:v>169000</c:v>
                </c:pt>
                <c:pt idx="4">
                  <c:v>111000</c:v>
                </c:pt>
                <c:pt idx="5">
                  <c:v>51000</c:v>
                </c:pt>
                <c:pt idx="6">
                  <c:v>-12000</c:v>
                </c:pt>
                <c:pt idx="7">
                  <c:v>-82000</c:v>
                </c:pt>
                <c:pt idx="8">
                  <c:v>-140000</c:v>
                </c:pt>
                <c:pt idx="9">
                  <c:v>-200000</c:v>
                </c:pt>
                <c:pt idx="10">
                  <c:v>-263000</c:v>
                </c:pt>
                <c:pt idx="11">
                  <c:v>-333000</c:v>
                </c:pt>
                <c:pt idx="12">
                  <c:v>-391000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7919904"/>
        <c:axId val="25332055"/>
      </c:lineChart>
      <c:catAx>
        <c:axId val="2791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332055"/>
        <c:crosses val="autoZero"/>
        <c:auto val="1"/>
        <c:lblAlgn val="ctr"/>
        <c:lblOffset val="100"/>
        <c:noMultiLvlLbl val="0"/>
      </c:catAx>
      <c:valAx>
        <c:axId val="253320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9199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131040</xdr:rowOff>
    </xdr:from>
    <xdr:to>
      <xdr:col>7</xdr:col>
      <xdr:colOff>276840</xdr:colOff>
      <xdr:row>29</xdr:row>
      <xdr:rowOff>173880</xdr:rowOff>
    </xdr:to>
    <xdr:graphicFrame>
      <xdr:nvGraphicFramePr>
        <xdr:cNvPr id="0" name="Chart 1"/>
        <xdr:cNvGraphicFramePr/>
      </xdr:nvGraphicFramePr>
      <xdr:xfrm>
        <a:off x="0" y="3238560"/>
        <a:ext cx="64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4" min="2" style="0" width="11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s">
        <v>16</v>
      </c>
      <c r="B5" s="5" t="n">
        <v>420000</v>
      </c>
      <c r="C5" s="6" t="n">
        <f aca="false">B15</f>
        <v>362000</v>
      </c>
      <c r="D5" s="6" t="n">
        <f aca="false">C15</f>
        <v>302000</v>
      </c>
      <c r="E5" s="6" t="n">
        <f aca="false">D15</f>
        <v>239000</v>
      </c>
      <c r="F5" s="6" t="n">
        <f aca="false">E15</f>
        <v>169000</v>
      </c>
      <c r="G5" s="6" t="n">
        <f aca="false">F15</f>
        <v>111000</v>
      </c>
      <c r="H5" s="6" t="n">
        <f aca="false">G15</f>
        <v>51000</v>
      </c>
      <c r="I5" s="6" t="n">
        <f aca="false">H15</f>
        <v>-12000</v>
      </c>
      <c r="J5" s="6" t="n">
        <f aca="false">I15</f>
        <v>-82000</v>
      </c>
      <c r="K5" s="6" t="n">
        <f aca="false">J15</f>
        <v>-140000</v>
      </c>
      <c r="L5" s="6" t="n">
        <f aca="false">K15</f>
        <v>-200000</v>
      </c>
      <c r="M5" s="6" t="n">
        <f aca="false">L15</f>
        <v>-263000</v>
      </c>
      <c r="N5" s="6" t="n">
        <f aca="false">M15</f>
        <v>-333000</v>
      </c>
    </row>
    <row r="6" customFormat="false" ht="15" hidden="false" customHeight="false" outlineLevel="0" collapsed="false">
      <c r="A6" s="4" t="s">
        <v>17</v>
      </c>
      <c r="B6" s="5" t="n">
        <v>182000</v>
      </c>
      <c r="C6" s="5" t="n">
        <v>188000</v>
      </c>
      <c r="D6" s="5" t="n">
        <v>193000</v>
      </c>
      <c r="E6" s="5" t="n">
        <v>177000</v>
      </c>
      <c r="F6" s="5" t="n">
        <v>182000</v>
      </c>
      <c r="G6" s="5" t="n">
        <v>188000</v>
      </c>
      <c r="H6" s="5" t="n">
        <v>193000</v>
      </c>
      <c r="I6" s="5" t="n">
        <v>177000</v>
      </c>
      <c r="J6" s="5" t="n">
        <v>182000</v>
      </c>
      <c r="K6" s="5" t="n">
        <v>188000</v>
      </c>
      <c r="L6" s="5" t="n">
        <v>193000</v>
      </c>
      <c r="M6" s="5" t="n">
        <v>177000</v>
      </c>
      <c r="N6" s="5" t="n">
        <v>182000</v>
      </c>
    </row>
    <row r="7" customFormat="false" ht="15" hidden="false" customHeight="false" outlineLevel="0" collapsed="false">
      <c r="A7" s="4" t="s">
        <v>18</v>
      </c>
      <c r="B7" s="5" t="n">
        <v>8000</v>
      </c>
      <c r="C7" s="5" t="n">
        <v>8000</v>
      </c>
      <c r="D7" s="5" t="n">
        <v>8000</v>
      </c>
      <c r="E7" s="5" t="n">
        <v>8000</v>
      </c>
      <c r="F7" s="5" t="n">
        <v>8000</v>
      </c>
      <c r="G7" s="5" t="n">
        <v>8000</v>
      </c>
      <c r="H7" s="5" t="n">
        <v>8000</v>
      </c>
      <c r="I7" s="5" t="n">
        <v>8000</v>
      </c>
      <c r="J7" s="5" t="n">
        <v>8000</v>
      </c>
      <c r="K7" s="5" t="n">
        <v>8000</v>
      </c>
      <c r="L7" s="5" t="n">
        <v>8000</v>
      </c>
      <c r="M7" s="5" t="n">
        <v>8000</v>
      </c>
      <c r="N7" s="5" t="n">
        <v>8000</v>
      </c>
    </row>
    <row r="8" customFormat="false" ht="15" hidden="false" customHeight="false" outlineLevel="0" collapsed="false">
      <c r="A8" s="4" t="s">
        <v>19</v>
      </c>
      <c r="B8" s="6" t="n">
        <f aca="false">B6+B7</f>
        <v>190000</v>
      </c>
      <c r="C8" s="6" t="n">
        <f aca="false">C6+C7</f>
        <v>196000</v>
      </c>
      <c r="D8" s="6" t="n">
        <f aca="false">D6+D7</f>
        <v>201000</v>
      </c>
      <c r="E8" s="6" t="n">
        <f aca="false">E6+E7</f>
        <v>185000</v>
      </c>
      <c r="F8" s="6" t="n">
        <f aca="false">F6+F7</f>
        <v>190000</v>
      </c>
      <c r="G8" s="6" t="n">
        <f aca="false">G6+G7</f>
        <v>196000</v>
      </c>
      <c r="H8" s="6" t="n">
        <f aca="false">H6+H7</f>
        <v>201000</v>
      </c>
      <c r="I8" s="6" t="n">
        <f aca="false">I6+I7</f>
        <v>185000</v>
      </c>
      <c r="J8" s="6" t="n">
        <f aca="false">J6+J7</f>
        <v>190000</v>
      </c>
      <c r="K8" s="6" t="n">
        <f aca="false">K6+K7</f>
        <v>196000</v>
      </c>
      <c r="L8" s="6" t="n">
        <f aca="false">L6+L7</f>
        <v>201000</v>
      </c>
      <c r="M8" s="6" t="n">
        <f aca="false">M6+M7</f>
        <v>185000</v>
      </c>
      <c r="N8" s="6" t="n">
        <f aca="false">N6+N7</f>
        <v>190000</v>
      </c>
    </row>
    <row r="9" customFormat="false" ht="15" hidden="false" customHeight="false" outlineLevel="0" collapsed="false">
      <c r="A9" s="4" t="s">
        <v>20</v>
      </c>
      <c r="B9" s="5" t="n">
        <v>91000</v>
      </c>
      <c r="C9" s="5" t="n">
        <v>93000</v>
      </c>
      <c r="D9" s="5" t="n">
        <v>96000</v>
      </c>
      <c r="E9" s="5" t="n">
        <v>88000</v>
      </c>
      <c r="F9" s="5" t="n">
        <v>91000</v>
      </c>
      <c r="G9" s="5" t="n">
        <v>93000</v>
      </c>
      <c r="H9" s="5" t="n">
        <v>96000</v>
      </c>
      <c r="I9" s="5" t="n">
        <v>88000</v>
      </c>
      <c r="J9" s="5" t="n">
        <v>91000</v>
      </c>
      <c r="K9" s="5" t="n">
        <v>93000</v>
      </c>
      <c r="L9" s="5" t="n">
        <v>96000</v>
      </c>
      <c r="M9" s="5" t="n">
        <v>88000</v>
      </c>
      <c r="N9" s="5" t="n">
        <v>91000</v>
      </c>
    </row>
    <row r="10" customFormat="false" ht="15" hidden="false" customHeight="false" outlineLevel="0" collapsed="false">
      <c r="A10" s="4" t="s">
        <v>21</v>
      </c>
      <c r="B10" s="5" t="n">
        <v>108000</v>
      </c>
      <c r="C10" s="5" t="n">
        <v>112000</v>
      </c>
      <c r="D10" s="5" t="n">
        <v>115000</v>
      </c>
      <c r="E10" s="5" t="n">
        <v>105000</v>
      </c>
      <c r="F10" s="5" t="n">
        <v>108000</v>
      </c>
      <c r="G10" s="5" t="n">
        <v>112000</v>
      </c>
      <c r="H10" s="5" t="n">
        <v>115000</v>
      </c>
      <c r="I10" s="5" t="n">
        <v>105000</v>
      </c>
      <c r="J10" s="5" t="n">
        <v>108000</v>
      </c>
      <c r="K10" s="5" t="n">
        <v>112000</v>
      </c>
      <c r="L10" s="5" t="n">
        <v>115000</v>
      </c>
      <c r="M10" s="5" t="n">
        <v>105000</v>
      </c>
      <c r="N10" s="5" t="n">
        <v>108000</v>
      </c>
    </row>
    <row r="11" customFormat="false" ht="15" hidden="false" customHeight="false" outlineLevel="0" collapsed="false">
      <c r="A11" s="4" t="s">
        <v>22</v>
      </c>
      <c r="B11" s="5" t="n">
        <v>37000</v>
      </c>
      <c r="C11" s="5" t="n">
        <v>39000</v>
      </c>
      <c r="D11" s="5" t="n">
        <v>40000</v>
      </c>
      <c r="E11" s="5" t="n">
        <v>36000</v>
      </c>
      <c r="F11" s="5" t="n">
        <v>37000</v>
      </c>
      <c r="G11" s="5" t="n">
        <v>39000</v>
      </c>
      <c r="H11" s="5" t="n">
        <v>40000</v>
      </c>
      <c r="I11" s="5" t="n">
        <v>36000</v>
      </c>
      <c r="J11" s="5" t="n">
        <v>37000</v>
      </c>
      <c r="K11" s="5" t="n">
        <v>39000</v>
      </c>
      <c r="L11" s="5" t="n">
        <v>40000</v>
      </c>
      <c r="M11" s="5" t="n">
        <v>36000</v>
      </c>
      <c r="N11" s="5" t="n">
        <v>37000</v>
      </c>
    </row>
    <row r="12" customFormat="false" ht="15" hidden="false" customHeight="false" outlineLevel="0" collapsed="false">
      <c r="A12" s="4" t="s">
        <v>23</v>
      </c>
      <c r="B12" s="5" t="n">
        <v>12000</v>
      </c>
      <c r="C12" s="5" t="n">
        <v>12000</v>
      </c>
      <c r="D12" s="5" t="n">
        <v>13000</v>
      </c>
      <c r="E12" s="5" t="n">
        <v>26000</v>
      </c>
      <c r="F12" s="5" t="n">
        <v>12000</v>
      </c>
      <c r="G12" s="5" t="n">
        <v>12000</v>
      </c>
      <c r="H12" s="5" t="n">
        <v>13000</v>
      </c>
      <c r="I12" s="5" t="n">
        <v>26000</v>
      </c>
      <c r="J12" s="5" t="n">
        <v>12000</v>
      </c>
      <c r="K12" s="5" t="n">
        <v>12000</v>
      </c>
      <c r="L12" s="5" t="n">
        <v>13000</v>
      </c>
      <c r="M12" s="5" t="n">
        <v>26000</v>
      </c>
      <c r="N12" s="5" t="n">
        <v>12000</v>
      </c>
    </row>
    <row r="13" customFormat="false" ht="15" hidden="false" customHeight="false" outlineLevel="0" collapsed="false">
      <c r="A13" s="4" t="s">
        <v>24</v>
      </c>
      <c r="B13" s="6" t="n">
        <f aca="false">B9+B10+B11+B12</f>
        <v>248000</v>
      </c>
      <c r="C13" s="6" t="n">
        <f aca="false">C9+C10+C11+C12</f>
        <v>256000</v>
      </c>
      <c r="D13" s="6" t="n">
        <f aca="false">D9+D10+D11+D12</f>
        <v>264000</v>
      </c>
      <c r="E13" s="6" t="n">
        <f aca="false">E9+E10+E11+E12</f>
        <v>255000</v>
      </c>
      <c r="F13" s="6" t="n">
        <f aca="false">F9+F10+F11+F12</f>
        <v>248000</v>
      </c>
      <c r="G13" s="6" t="n">
        <f aca="false">G9+G10+G11+G12</f>
        <v>256000</v>
      </c>
      <c r="H13" s="6" t="n">
        <f aca="false">H9+H10+H11+H12</f>
        <v>264000</v>
      </c>
      <c r="I13" s="6" t="n">
        <f aca="false">I9+I10+I11+I12</f>
        <v>255000</v>
      </c>
      <c r="J13" s="6" t="n">
        <f aca="false">J9+J10+J11+J12</f>
        <v>248000</v>
      </c>
      <c r="K13" s="6" t="n">
        <f aca="false">K9+K10+K11+K12</f>
        <v>256000</v>
      </c>
      <c r="L13" s="6" t="n">
        <f aca="false">L9+L10+L11+L12</f>
        <v>264000</v>
      </c>
      <c r="M13" s="6" t="n">
        <f aca="false">M9+M10+M11+M12</f>
        <v>255000</v>
      </c>
      <c r="N13" s="6" t="n">
        <f aca="false">N9+N10+N11+N12</f>
        <v>248000</v>
      </c>
    </row>
    <row r="14" customFormat="false" ht="15" hidden="false" customHeight="false" outlineLevel="0" collapsed="false">
      <c r="A14" s="4" t="s">
        <v>25</v>
      </c>
      <c r="B14" s="6" t="n">
        <f aca="false">B8-B13</f>
        <v>-58000</v>
      </c>
      <c r="C14" s="6" t="n">
        <f aca="false">C8-C13</f>
        <v>-60000</v>
      </c>
      <c r="D14" s="6" t="n">
        <f aca="false">D8-D13</f>
        <v>-63000</v>
      </c>
      <c r="E14" s="6" t="n">
        <f aca="false">E8-E13</f>
        <v>-70000</v>
      </c>
      <c r="F14" s="6" t="n">
        <f aca="false">F8-F13</f>
        <v>-58000</v>
      </c>
      <c r="G14" s="6" t="n">
        <f aca="false">G8-G13</f>
        <v>-60000</v>
      </c>
      <c r="H14" s="6" t="n">
        <f aca="false">H8-H13</f>
        <v>-63000</v>
      </c>
      <c r="I14" s="6" t="n">
        <f aca="false">I8-I13</f>
        <v>-70000</v>
      </c>
      <c r="J14" s="6" t="n">
        <f aca="false">J8-J13</f>
        <v>-58000</v>
      </c>
      <c r="K14" s="6" t="n">
        <f aca="false">K8-K13</f>
        <v>-60000</v>
      </c>
      <c r="L14" s="6" t="n">
        <f aca="false">L8-L13</f>
        <v>-63000</v>
      </c>
      <c r="M14" s="6" t="n">
        <f aca="false">M8-M13</f>
        <v>-70000</v>
      </c>
      <c r="N14" s="6" t="n">
        <f aca="false">N8-N13</f>
        <v>-58000</v>
      </c>
    </row>
    <row r="15" customFormat="false" ht="15" hidden="false" customHeight="false" outlineLevel="0" collapsed="false">
      <c r="A15" s="4" t="s">
        <v>26</v>
      </c>
      <c r="B15" s="6" t="n">
        <f aca="false">B5+B14</f>
        <v>362000</v>
      </c>
      <c r="C15" s="6" t="n">
        <f aca="false">C5+C14</f>
        <v>302000</v>
      </c>
      <c r="D15" s="6" t="n">
        <f aca="false">D5+D14</f>
        <v>239000</v>
      </c>
      <c r="E15" s="6" t="n">
        <f aca="false">E5+E14</f>
        <v>169000</v>
      </c>
      <c r="F15" s="6" t="n">
        <f aca="false">F5+F14</f>
        <v>111000</v>
      </c>
      <c r="G15" s="6" t="n">
        <f aca="false">G5+G14</f>
        <v>51000</v>
      </c>
      <c r="H15" s="6" t="n">
        <f aca="false">H5+H14</f>
        <v>-12000</v>
      </c>
      <c r="I15" s="6" t="n">
        <f aca="false">I5+I14</f>
        <v>-82000</v>
      </c>
      <c r="J15" s="6" t="n">
        <f aca="false">J5+J14</f>
        <v>-140000</v>
      </c>
      <c r="K15" s="6" t="n">
        <f aca="false">K5+K14</f>
        <v>-200000</v>
      </c>
      <c r="L15" s="6" t="n">
        <f aca="false">L5+L14</f>
        <v>-263000</v>
      </c>
      <c r="M15" s="6" t="n">
        <f aca="false">M5+M14</f>
        <v>-333000</v>
      </c>
      <c r="N15" s="6" t="n">
        <f aca="false">N5+N14</f>
        <v>-391000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9.7" hidden="false" customHeight="false" outlineLevel="0" collapsed="false">
      <c r="A1" s="7" t="s">
        <v>27</v>
      </c>
    </row>
    <row r="3" customFormat="false" ht="15" hidden="false" customHeight="false" outlineLevel="0" collapsed="false">
      <c r="A3" s="0" t="s">
        <v>28</v>
      </c>
    </row>
    <row r="4" customFormat="false" ht="15" hidden="false" customHeight="false" outlineLevel="0" collapsed="false">
      <c r="A4" s="0" t="s">
        <v>29</v>
      </c>
    </row>
    <row r="5" customFormat="false" ht="15" hidden="false" customHeight="false" outlineLevel="0" collapsed="false">
      <c r="A5" s="0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2026-08-27T13:48:45Z</dcterms:created>
  <dc:creator>openpyxl</dc:creator>
  <dc:description/>
  <dc:language>en-US</dc:language>
  <cp:lastModifiedBy/>
  <dcterms:modified xsi:type="dcterms:W3CDTF">2026-08-27T13:48:49Z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